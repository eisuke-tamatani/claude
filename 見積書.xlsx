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書" sheetId="1" state="visible" r:id="rId3"/>
  </sheets>
  <definedNames>
    <definedName function="false" hidden="false" localSheetId="0" name="_xlnm.Print_Area" vbProcedure="false">見積書!$A$1:$G$43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<sst xmlns="http://schemas.openxmlformats.org/spreadsheetml/2006/main" count="36" uniqueCount="35">
  <si>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御 見 積 書</t>
  </si>
  <si>
    <t xml:space="preserve">株式会社〇〇〇〇　御中</t>
  </si>
  <si>
    <t xml:space="preserve">見積番号</t>
  </si>
  <si>
    <t xml:space="preserve">Q-2026-0001</t>
  </si>
  <si>
    <t xml:space="preserve">見積日</t>
  </si>
  <si>
    <t xml:space="preserve">件名：</t>
  </si>
  <si>
    <t xml:space="preserve">〇〇〇〇の件</t>
  </si>
  <si>
    <t xml:space="preserve">有効期限</t>
  </si>
  <si>
    <t xml:space="preserve">下記のとおりお見積り申し上げます。</t>
  </si>
  <si>
    <r>
      <rPr>
        <sz val="10"/>
        <color rgb="FF0000FF"/>
        <rFont val="WenQuanYi Zen Hei"/>
        <family val="2"/>
      </rPr>
      <t xml:space="preserve">〒</t>
    </r>
    <r>
      <rPr>
        <sz val="10"/>
        <color rgb="FF0000FF"/>
        <rFont val="Meiryo UI"/>
        <family val="0"/>
        <charset val="1"/>
      </rPr>
      <t xml:space="preserve">000-0000</t>
    </r>
  </si>
  <si>
    <r>
      <rPr>
        <sz val="10"/>
        <color rgb="FF0000FF"/>
        <rFont val="WenQuanYi Zen Hei"/>
        <family val="2"/>
      </rPr>
      <t xml:space="preserve">東京都〇〇区〇〇 </t>
    </r>
    <r>
      <rPr>
        <sz val="10"/>
        <color rgb="FF0000FF"/>
        <rFont val="Meiryo UI"/>
        <family val="0"/>
        <charset val="1"/>
      </rPr>
      <t xml:space="preserve">0-0-0</t>
    </r>
  </si>
  <si>
    <t xml:space="preserve">御見積金額</t>
  </si>
  <si>
    <t xml:space="preserve">株式会社△△△△</t>
  </si>
  <si>
    <t xml:space="preserve">（税込）</t>
  </si>
  <si>
    <t xml:space="preserve">TEL: 00-0000-0000</t>
  </si>
  <si>
    <t xml:space="preserve">担当：〇〇 〇〇</t>
  </si>
  <si>
    <t xml:space="preserve">No.</t>
  </si>
  <si>
    <t xml:space="preserve">品名・摘要</t>
  </si>
  <si>
    <t xml:space="preserve">数量</t>
  </si>
  <si>
    <t xml:space="preserve">単位</t>
  </si>
  <si>
    <t xml:space="preserve">単価（円）</t>
  </si>
  <si>
    <t xml:space="preserve">金額（円）</t>
  </si>
  <si>
    <t xml:space="preserve">備考</t>
  </si>
  <si>
    <r>
      <rPr>
        <sz val="10"/>
        <color rgb="FF0000FF"/>
        <rFont val="Meiryo UI"/>
        <family val="0"/>
        <charset val="1"/>
      </rPr>
      <t xml:space="preserve">Web</t>
    </r>
    <r>
      <rPr>
        <sz val="10"/>
        <color rgb="FF0000FF"/>
        <rFont val="WenQuanYi Zen Hei"/>
        <family val="2"/>
      </rPr>
      <t xml:space="preserve">サイト制作費</t>
    </r>
  </si>
  <si>
    <t xml:space="preserve">式</t>
  </si>
  <si>
    <t xml:space="preserve">デザイン・コーディング込</t>
  </si>
  <si>
    <t xml:space="preserve">保守運用費（月額）</t>
  </si>
  <si>
    <t xml:space="preserve">ヶ月</t>
  </si>
  <si>
    <t xml:space="preserve">小　計</t>
  </si>
  <si>
    <t xml:space="preserve">消費税</t>
  </si>
  <si>
    <t xml:space="preserve">合　計（税込）</t>
  </si>
  <si>
    <t xml:space="preserve">・お支払条件：納品月末締め、翌月末払い（銀行振込・振込手数料はお客様負担）</t>
  </si>
  <si>
    <t xml:space="preserve">・納期：ご発注後〇週間</t>
  </si>
  <si>
    <r>
      <rPr>
        <sz val="10"/>
        <color rgb="FF0000FF"/>
        <rFont val="WenQuanYi Zen Hei"/>
        <family val="2"/>
      </rPr>
      <t xml:space="preserve">・本見積書の有効期限は発行日より</t>
    </r>
    <r>
      <rPr>
        <sz val="10"/>
        <color rgb="FF0000FF"/>
        <rFont val="Meiryo UI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日間です。</t>
    </r>
  </si>
  <si>
    <r>
      <rPr>
        <sz val="8"/>
        <color rgb="FF808080"/>
        <rFont val="WenQuanYi Zen Hei"/>
        <family val="2"/>
      </rPr>
      <t xml:space="preserve">※青字のセルが入力項目です（宛先・件名・明細・税率など）。明細は最大</t>
    </r>
    <r>
      <rPr>
        <sz val="8"/>
        <color rgb="FF808080"/>
        <rFont val="Meiryo UI"/>
        <family val="0"/>
        <charset val="1"/>
      </rPr>
      <t xml:space="preserve">20</t>
    </r>
    <r>
      <rPr>
        <sz val="8"/>
        <color rgb="FF808080"/>
        <rFont val="WenQuanYi Zen Hei"/>
        <family val="2"/>
      </rPr>
      <t xml:space="preserve">行。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</si>
</sst>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\¥#,##0\-"/>
    <numFmt numFmtId="167" formatCode="General"/>
    <numFmt numFmtId="168" formatCode="#,##0"/>
    <numFmt numFmtId="169" formatCode="&quot;税率 &quot;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WenQuanYi Zen Hei"/>
      <family val="2"/>
    </font>
    <font>
      <b val="true"/>
      <sz val="14"/>
      <color rgb="FF0000FF"/>
      <name val="WenQuanYi Zen Hei"/>
      <family val="2"/>
    </font>
    <font>
      <sz val="10"/>
      <name val="WenQuanYi Zen Hei"/>
      <family val="2"/>
    </font>
    <font>
      <sz val="10"/>
      <color rgb="FF0000FF"/>
      <name val="Meiryo UI"/>
      <family val="0"/>
      <charset val="1"/>
    </font>
    <font>
      <sz val="10"/>
      <color rgb="FF0000FF"/>
      <name val="WenQuanYi Zen Hei"/>
      <family val="2"/>
    </font>
    <font>
      <sz val="10"/>
      <name val="Meiryo UI"/>
      <family val="0"/>
      <charset val="1"/>
    </font>
    <font>
      <b val="true"/>
      <sz val="12"/>
      <name val="WenQuanYi Zen Hei"/>
      <family val="2"/>
    </font>
    <font>
      <b val="true"/>
      <sz val="13"/>
      <name val="Meiryo UI"/>
      <family val="0"/>
      <charset val="1"/>
    </font>
    <font>
      <b val="true"/>
      <sz val="11"/>
      <color rgb="FF0000FF"/>
      <name val="WenQuanYi Zen Hei"/>
      <family val="2"/>
    </font>
    <font>
      <sz val="9"/>
      <name val="WenQuanYi Zen Hei"/>
      <family val="2"/>
    </font>
    <font>
      <b val="true"/>
      <sz val="10"/>
      <color rgb="FFFFFFFF"/>
      <name val="Meiryo UI"/>
      <family val="0"/>
      <charset val="1"/>
    </font>
    <font>
      <b val="true"/>
      <sz val="10"/>
      <color rgb="FFFFFFFF"/>
      <name val="WenQuanYi Zen Hei"/>
      <family val="2"/>
    </font>
    <font>
      <sz val="9"/>
      <color rgb="FF0000FF"/>
      <name val="WenQuanYi Zen Hei"/>
      <family val="2"/>
    </font>
    <font>
      <b val="true"/>
      <sz val="11"/>
      <name val="WenQuanYi Zen Hei"/>
      <family val="2"/>
    </font>
    <font>
      <b val="true"/>
      <sz val="11"/>
      <name val="Meiryo UI"/>
      <family val="0"/>
      <charset val="1"/>
    </font>
    <font>
      <sz val="11"/>
      <name val="Meiryo UI"/>
      <family val="0"/>
      <charset val="1"/>
    </font>
    <font>
      <sz val="8"/>
      <color rgb="FF808080"/>
      <name val="WenQuanYi Zen Hei"/>
      <family val="2"/>
    </font>
    <font>
      <sz val="8"/>
      <color rgb="FF808080"/>
      <name val="Meiryo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7.35" hidden="false" customHeight="false" outlineLevel="0" collapsed="false">
      <c r="A3" s="2" t="s">
        <v>1</v>
      </c>
      <c r="B3" s="2"/>
      <c r="C3" s="2"/>
      <c r="E3" s="3" t="s">
        <v>2</v>
      </c>
      <c r="F3" s="4" t="s">
        <v>3</v>
      </c>
      <c r="G3" s="4"/>
    </row>
    <row r="4" customFormat="false" ht="15" hidden="false" customHeight="false" outlineLevel="0" collapsed="false">
      <c r="E4" s="3" t="s">
        <v>4</v>
      </c>
      <c r="F4" s="5" t="n">
        <v>46318</v>
      </c>
      <c r="G4" s="5"/>
    </row>
    <row r="5" customFormat="false" ht="15" hidden="false" customHeight="false" outlineLevel="0" collapsed="false">
      <c r="A5" s="6" t="s">
        <v>5</v>
      </c>
      <c r="B5" s="7" t="s">
        <v>6</v>
      </c>
      <c r="C5" s="7"/>
      <c r="E5" s="3" t="s">
        <v>7</v>
      </c>
      <c r="F5" s="8" t="n">
        <f aca="false">F4+30</f>
        <v>46348</v>
      </c>
      <c r="G5" s="8"/>
    </row>
    <row r="6" customFormat="false" ht="15" hidden="false" customHeight="false" outlineLevel="0" collapsed="false">
      <c r="A6" s="9" t="s">
        <v>8</v>
      </c>
      <c r="B6" s="9"/>
      <c r="C6" s="9"/>
    </row>
    <row r="7" customFormat="false" ht="15" hidden="false" customHeight="false" outlineLevel="0" collapsed="false">
      <c r="E7" s="7" t="s">
        <v>9</v>
      </c>
      <c r="F7" s="7"/>
      <c r="G7" s="7"/>
    </row>
    <row r="8" customFormat="false" ht="15" hidden="false" customHeight="false" outlineLevel="0" collapsed="false">
      <c r="E8" s="7" t="s">
        <v>10</v>
      </c>
      <c r="F8" s="7"/>
      <c r="G8" s="7"/>
    </row>
    <row r="9" customFormat="false" ht="16.15" hidden="false" customHeight="false" outlineLevel="0" collapsed="false">
      <c r="A9" s="10" t="s">
        <v>11</v>
      </c>
      <c r="B9" s="10"/>
      <c r="C9" s="11" t="n">
        <f aca="false">F36</f>
        <v>594000</v>
      </c>
      <c r="D9" s="11"/>
      <c r="E9" s="12" t="s">
        <v>12</v>
      </c>
      <c r="F9" s="12"/>
      <c r="G9" s="12"/>
    </row>
    <row r="10" customFormat="false" ht="15" hidden="false" customHeight="false" outlineLevel="0" collapsed="false">
      <c r="A10" s="13" t="s">
        <v>13</v>
      </c>
      <c r="B10" s="13"/>
      <c r="E10" s="4" t="s">
        <v>14</v>
      </c>
      <c r="F10" s="4"/>
      <c r="G10" s="4"/>
    </row>
    <row r="11" customFormat="false" ht="15" hidden="false" customHeight="false" outlineLevel="0" collapsed="false">
      <c r="E11" s="7" t="s">
        <v>15</v>
      </c>
      <c r="F11" s="7"/>
      <c r="G11" s="7"/>
    </row>
    <row r="13" customFormat="false" ht="15" hidden="false" customHeight="false" outlineLevel="0" collapsed="false">
      <c r="A13" s="14" t="s">
        <v>16</v>
      </c>
      <c r="B13" s="15" t="s">
        <v>17</v>
      </c>
      <c r="C13" s="15" t="s">
        <v>18</v>
      </c>
      <c r="D13" s="15" t="s">
        <v>19</v>
      </c>
      <c r="E13" s="15" t="s">
        <v>20</v>
      </c>
      <c r="F13" s="15" t="s">
        <v>21</v>
      </c>
      <c r="G13" s="15" t="s">
        <v>22</v>
      </c>
    </row>
    <row r="14" customFormat="false" ht="19.5" hidden="false" customHeight="true" outlineLevel="0" collapsed="false">
      <c r="A14" s="16" t="n">
        <f aca="false">IF(B14="","",ROW()-13)</f>
        <v>1</v>
      </c>
      <c r="B14" s="17" t="s">
        <v>23</v>
      </c>
      <c r="C14" s="18" t="n">
        <v>1</v>
      </c>
      <c r="D14" s="19" t="s">
        <v>24</v>
      </c>
      <c r="E14" s="18" t="n">
        <v>300000</v>
      </c>
      <c r="F14" s="20" t="n">
        <f aca="false">IF(OR(C14="",E14=""),"",ROUND(C14*E14,0))</f>
        <v>300000</v>
      </c>
      <c r="G14" s="21" t="s">
        <v>25</v>
      </c>
    </row>
    <row r="15" customFormat="false" ht="19.5" hidden="false" customHeight="true" outlineLevel="0" collapsed="false">
      <c r="A15" s="16" t="n">
        <f aca="false">IF(B15="","",ROW()-13)</f>
        <v>2</v>
      </c>
      <c r="B15" s="22" t="s">
        <v>26</v>
      </c>
      <c r="C15" s="18" t="n">
        <v>12</v>
      </c>
      <c r="D15" s="19" t="s">
        <v>27</v>
      </c>
      <c r="E15" s="18" t="n">
        <v>20000</v>
      </c>
      <c r="F15" s="20" t="n">
        <f aca="false">IF(OR(C15="",E15=""),"",ROUND(C15*E15,0))</f>
        <v>240000</v>
      </c>
      <c r="G15" s="21"/>
    </row>
    <row r="16" customFormat="false" ht="19.5" hidden="false" customHeight="true" outlineLevel="0" collapsed="false">
      <c r="A16" s="16" t="str">
        <f aca="false">IF(B16="","",ROW()-13)</f>
        <v/>
      </c>
      <c r="B16" s="17"/>
      <c r="C16" s="18"/>
      <c r="D16" s="19"/>
      <c r="E16" s="18"/>
      <c r="F16" s="20" t="str">
        <f aca="false">IF(OR(C16="",E16=""),"",ROUND(C16*E16,0))</f>
        <v/>
      </c>
      <c r="G16" s="21"/>
    </row>
    <row r="17" customFormat="false" ht="19.5" hidden="false" customHeight="true" outlineLevel="0" collapsed="false">
      <c r="A17" s="16" t="str">
        <f aca="false">IF(B17="","",ROW()-13)</f>
        <v/>
      </c>
      <c r="B17" s="17"/>
      <c r="C17" s="18"/>
      <c r="D17" s="19"/>
      <c r="E17" s="18"/>
      <c r="F17" s="20" t="str">
        <f aca="false">IF(OR(C17="",E17=""),"",ROUND(C17*E17,0))</f>
        <v/>
      </c>
      <c r="G17" s="21"/>
    </row>
    <row r="18" customFormat="false" ht="19.5" hidden="false" customHeight="true" outlineLevel="0" collapsed="false">
      <c r="A18" s="16" t="str">
        <f aca="false">IF(B18="","",ROW()-13)</f>
        <v/>
      </c>
      <c r="B18" s="17"/>
      <c r="C18" s="18"/>
      <c r="D18" s="19"/>
      <c r="E18" s="18"/>
      <c r="F18" s="20" t="str">
        <f aca="false">IF(OR(C18="",E18=""),"",ROUND(C18*E18,0))</f>
        <v/>
      </c>
      <c r="G18" s="21"/>
    </row>
    <row r="19" customFormat="false" ht="19.5" hidden="false" customHeight="true" outlineLevel="0" collapsed="false">
      <c r="A19" s="16" t="str">
        <f aca="false">IF(B19="","",ROW()-13)</f>
        <v/>
      </c>
      <c r="B19" s="17"/>
      <c r="C19" s="18"/>
      <c r="D19" s="19"/>
      <c r="E19" s="18"/>
      <c r="F19" s="20" t="str">
        <f aca="false">IF(OR(C19="",E19=""),"",ROUND(C19*E19,0))</f>
        <v/>
      </c>
      <c r="G19" s="21"/>
    </row>
    <row r="20" customFormat="false" ht="19.5" hidden="false" customHeight="true" outlineLevel="0" collapsed="false">
      <c r="A20" s="16" t="str">
        <f aca="false">IF(B20="","",ROW()-13)</f>
        <v/>
      </c>
      <c r="B20" s="17"/>
      <c r="C20" s="18"/>
      <c r="D20" s="19"/>
      <c r="E20" s="18"/>
      <c r="F20" s="20" t="str">
        <f aca="false">IF(OR(C20="",E20=""),"",ROUND(C20*E20,0))</f>
        <v/>
      </c>
      <c r="G20" s="21"/>
    </row>
    <row r="21" customFormat="false" ht="19.5" hidden="false" customHeight="true" outlineLevel="0" collapsed="false">
      <c r="A21" s="16" t="str">
        <f aca="false">IF(B21="","",ROW()-13)</f>
        <v/>
      </c>
      <c r="B21" s="17"/>
      <c r="C21" s="18"/>
      <c r="D21" s="19"/>
      <c r="E21" s="18"/>
      <c r="F21" s="20" t="str">
        <f aca="false">IF(OR(C21="",E21=""),"",ROUND(C21*E21,0))</f>
        <v/>
      </c>
      <c r="G21" s="21"/>
    </row>
    <row r="22" customFormat="false" ht="19.5" hidden="false" customHeight="true" outlineLevel="0" collapsed="false">
      <c r="A22" s="16" t="str">
        <f aca="false">IF(B22="","",ROW()-13)</f>
        <v/>
      </c>
      <c r="B22" s="17"/>
      <c r="C22" s="18"/>
      <c r="D22" s="19"/>
      <c r="E22" s="18"/>
      <c r="F22" s="20" t="str">
        <f aca="false">IF(OR(C22="",E22=""),"",ROUND(C22*E22,0))</f>
        <v/>
      </c>
      <c r="G22" s="21"/>
    </row>
    <row r="23" customFormat="false" ht="19.5" hidden="false" customHeight="true" outlineLevel="0" collapsed="false">
      <c r="A23" s="16" t="str">
        <f aca="false">IF(B23="","",ROW()-13)</f>
        <v/>
      </c>
      <c r="B23" s="17"/>
      <c r="C23" s="18"/>
      <c r="D23" s="19"/>
      <c r="E23" s="18"/>
      <c r="F23" s="20" t="str">
        <f aca="false">IF(OR(C23="",E23=""),"",ROUND(C23*E23,0))</f>
        <v/>
      </c>
      <c r="G23" s="21"/>
    </row>
    <row r="24" customFormat="false" ht="19.5" hidden="false" customHeight="true" outlineLevel="0" collapsed="false">
      <c r="A24" s="16" t="str">
        <f aca="false">IF(B24="","",ROW()-13)</f>
        <v/>
      </c>
      <c r="B24" s="17"/>
      <c r="C24" s="18"/>
      <c r="D24" s="19"/>
      <c r="E24" s="18"/>
      <c r="F24" s="20" t="str">
        <f aca="false">IF(OR(C24="",E24=""),"",ROUND(C24*E24,0))</f>
        <v/>
      </c>
      <c r="G24" s="21"/>
    </row>
    <row r="25" customFormat="false" ht="19.5" hidden="false" customHeight="true" outlineLevel="0" collapsed="false">
      <c r="A25" s="16" t="str">
        <f aca="false">IF(B25="","",ROW()-13)</f>
        <v/>
      </c>
      <c r="B25" s="17"/>
      <c r="C25" s="18"/>
      <c r="D25" s="19"/>
      <c r="E25" s="18"/>
      <c r="F25" s="20" t="str">
        <f aca="false">IF(OR(C25="",E25=""),"",ROUND(C25*E25,0))</f>
        <v/>
      </c>
      <c r="G25" s="21"/>
    </row>
    <row r="26" customFormat="false" ht="19.5" hidden="false" customHeight="true" outlineLevel="0" collapsed="false">
      <c r="A26" s="16" t="str">
        <f aca="false">IF(B26="","",ROW()-13)</f>
        <v/>
      </c>
      <c r="B26" s="17"/>
      <c r="C26" s="18"/>
      <c r="D26" s="19"/>
      <c r="E26" s="18"/>
      <c r="F26" s="20" t="str">
        <f aca="false">IF(OR(C26="",E26=""),"",ROUND(C26*E26,0))</f>
        <v/>
      </c>
      <c r="G26" s="21"/>
    </row>
    <row r="27" customFormat="false" ht="19.5" hidden="false" customHeight="true" outlineLevel="0" collapsed="false">
      <c r="A27" s="16" t="str">
        <f aca="false">IF(B27="","",ROW()-13)</f>
        <v/>
      </c>
      <c r="B27" s="17"/>
      <c r="C27" s="18"/>
      <c r="D27" s="19"/>
      <c r="E27" s="18"/>
      <c r="F27" s="20" t="str">
        <f aca="false">IF(OR(C27="",E27=""),"",ROUND(C27*E27,0))</f>
        <v/>
      </c>
      <c r="G27" s="21"/>
    </row>
    <row r="28" customFormat="false" ht="19.5" hidden="false" customHeight="true" outlineLevel="0" collapsed="false">
      <c r="A28" s="16" t="str">
        <f aca="false">IF(B28="","",ROW()-13)</f>
        <v/>
      </c>
      <c r="B28" s="17"/>
      <c r="C28" s="18"/>
      <c r="D28" s="19"/>
      <c r="E28" s="18"/>
      <c r="F28" s="20" t="str">
        <f aca="false">IF(OR(C28="",E28=""),"",ROUND(C28*E28,0))</f>
        <v/>
      </c>
      <c r="G28" s="21"/>
    </row>
    <row r="29" customFormat="false" ht="19.5" hidden="false" customHeight="true" outlineLevel="0" collapsed="false">
      <c r="A29" s="16" t="str">
        <f aca="false">IF(B29="","",ROW()-13)</f>
        <v/>
      </c>
      <c r="B29" s="17"/>
      <c r="C29" s="18"/>
      <c r="D29" s="19"/>
      <c r="E29" s="18"/>
      <c r="F29" s="20" t="str">
        <f aca="false">IF(OR(C29="",E29=""),"",ROUND(C29*E29,0))</f>
        <v/>
      </c>
      <c r="G29" s="21"/>
    </row>
    <row r="30" customFormat="false" ht="19.5" hidden="false" customHeight="true" outlineLevel="0" collapsed="false">
      <c r="A30" s="16" t="str">
        <f aca="false">IF(B30="","",ROW()-13)</f>
        <v/>
      </c>
      <c r="B30" s="17"/>
      <c r="C30" s="18"/>
      <c r="D30" s="19"/>
      <c r="E30" s="18"/>
      <c r="F30" s="20" t="str">
        <f aca="false">IF(OR(C30="",E30=""),"",ROUND(C30*E30,0))</f>
        <v/>
      </c>
      <c r="G30" s="21"/>
    </row>
    <row r="31" customFormat="false" ht="19.5" hidden="false" customHeight="true" outlineLevel="0" collapsed="false">
      <c r="A31" s="16" t="str">
        <f aca="false">IF(B31="","",ROW()-13)</f>
        <v/>
      </c>
      <c r="B31" s="17"/>
      <c r="C31" s="18"/>
      <c r="D31" s="19"/>
      <c r="E31" s="18"/>
      <c r="F31" s="20" t="str">
        <f aca="false">IF(OR(C31="",E31=""),"",ROUND(C31*E31,0))</f>
        <v/>
      </c>
      <c r="G31" s="21"/>
    </row>
    <row r="32" customFormat="false" ht="19.5" hidden="false" customHeight="true" outlineLevel="0" collapsed="false">
      <c r="A32" s="16" t="str">
        <f aca="false">IF(B32="","",ROW()-13)</f>
        <v/>
      </c>
      <c r="B32" s="17"/>
      <c r="C32" s="18"/>
      <c r="D32" s="19"/>
      <c r="E32" s="18"/>
      <c r="F32" s="20" t="str">
        <f aca="false">IF(OR(C32="",E32=""),"",ROUND(C32*E32,0))</f>
        <v/>
      </c>
      <c r="G32" s="21"/>
    </row>
    <row r="33" customFormat="false" ht="19.5" hidden="false" customHeight="true" outlineLevel="0" collapsed="false">
      <c r="A33" s="16" t="str">
        <f aca="false">IF(B33="","",ROW()-13)</f>
        <v/>
      </c>
      <c r="B33" s="17"/>
      <c r="C33" s="18"/>
      <c r="D33" s="19"/>
      <c r="E33" s="18"/>
      <c r="F33" s="20" t="str">
        <f aca="false">IF(OR(C33="",E33=""),"",ROUND(C33*E33,0))</f>
        <v/>
      </c>
      <c r="G33" s="21"/>
    </row>
    <row r="34" customFormat="false" ht="15" hidden="false" customHeight="false" outlineLevel="0" collapsed="false">
      <c r="D34" s="23" t="s">
        <v>28</v>
      </c>
      <c r="E34" s="23"/>
      <c r="F34" s="24" t="n">
        <f aca="false">SUM(F14:F33)</f>
        <v>540000</v>
      </c>
      <c r="G34" s="25"/>
    </row>
    <row r="35" customFormat="false" ht="15" hidden="false" customHeight="false" outlineLevel="0" collapsed="false">
      <c r="D35" s="23" t="s">
        <v>29</v>
      </c>
      <c r="E35" s="23"/>
      <c r="F35" s="26" t="n">
        <f aca="false">ROUND(F34*G35,0)</f>
        <v>54000</v>
      </c>
      <c r="G35" s="27" t="n">
        <v>0.1</v>
      </c>
    </row>
    <row r="36" customFormat="false" ht="15" hidden="false" customHeight="false" outlineLevel="0" collapsed="false">
      <c r="D36" s="23" t="s">
        <v>30</v>
      </c>
      <c r="E36" s="23"/>
      <c r="F36" s="24" t="n">
        <f aca="false">F34+F35</f>
        <v>594000</v>
      </c>
      <c r="G36" s="25"/>
    </row>
    <row r="38" customFormat="false" ht="15" hidden="false" customHeight="false" outlineLevel="0" collapsed="false">
      <c r="A38" s="28" t="s">
        <v>22</v>
      </c>
      <c r="B38" s="29"/>
      <c r="C38" s="29"/>
      <c r="D38" s="29"/>
      <c r="E38" s="29"/>
      <c r="F38" s="29"/>
      <c r="G38" s="29"/>
    </row>
    <row r="39" customFormat="false" ht="15" hidden="false" customHeight="false" outlineLevel="0" collapsed="false">
      <c r="A39" s="7" t="s">
        <v>31</v>
      </c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7" t="s">
        <v>32</v>
      </c>
      <c r="B40" s="7"/>
      <c r="C40" s="7"/>
      <c r="D40" s="7"/>
      <c r="E40" s="7"/>
      <c r="F40" s="7"/>
      <c r="G40" s="7"/>
    </row>
    <row r="41" customFormat="false" ht="14.15" hidden="false" customHeight="false" outlineLevel="0" collapsed="false">
      <c r="A41" s="7" t="s">
        <v>33</v>
      </c>
      <c r="B41" s="7"/>
      <c r="C41" s="7"/>
      <c r="D41" s="7"/>
      <c r="E41" s="7"/>
      <c r="F41" s="7"/>
      <c r="G41" s="7"/>
    </row>
    <row r="43" customFormat="false" ht="11.9" hidden="false" customHeight="false" outlineLevel="0" collapsed="false">
      <c r="A43" s="30" t="s">
        <v>34</v>
      </c>
      <c r="B43" s="30"/>
      <c r="C43" s="30"/>
      <c r="D43" s="30"/>
      <c r="E43" s="30"/>
      <c r="F43" s="30"/>
      <c r="G43" s="30"/>
    </row>
  </sheetData>
  <mergeCells count="22">
    <mergeCell ref="A1:G1"/>
    <mergeCell ref="A3:C3"/>
    <mergeCell ref="F3:G3"/>
    <mergeCell ref="F4:G4"/>
    <mergeCell ref="B5:C5"/>
    <mergeCell ref="F5:G5"/>
    <mergeCell ref="A6:C6"/>
    <mergeCell ref="E7:G7"/>
    <mergeCell ref="E8:G8"/>
    <mergeCell ref="A9:B9"/>
    <mergeCell ref="C9:D9"/>
    <mergeCell ref="E9:G9"/>
    <mergeCell ref="A10:B10"/>
    <mergeCell ref="E10:G10"/>
    <mergeCell ref="E11:G11"/>
    <mergeCell ref="D34:E34"/>
    <mergeCell ref="D35:E35"/>
    <mergeCell ref="D36:E36"/>
    <mergeCell ref="A39:G39"/>
    <mergeCell ref="A40:G40"/>
    <mergeCell ref="A41:G41"/>
    <mergeCell ref="A43:G43"/>
  </mergeCells>
  <printOptions headings="false" gridLines="false" gridLinesSet="true" horizontalCentered="true" verticalCentered="false"/>
  <pageMargins left="0.6" right="0.6" top="0.7" bottom="0.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2026-10-23T02:28:38Z</dcterms:created>
  <dc:creator>openpyxl</dc:creator>
  <dc:description/>
  <dc:language>en-US</dc:language>
  <cp:lastModifiedBy/>
  <dcterms:modified xsi:type="dcterms:W3CDTF">2026-10-23T02:28:38Z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